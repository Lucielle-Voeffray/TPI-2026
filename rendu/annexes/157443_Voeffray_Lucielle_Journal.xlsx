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checkCompatibility="1"/>
  <mc:AlternateContent xmlns:mc="http://schemas.openxmlformats.org/markup-compatibility/2006">
    <mc:Choice Requires="x15">
      <x15ac:absPath xmlns:x15ac="http://schemas.microsoft.com/office/spreadsheetml/2010/11/ac" url="D:\TPI - 2026 - Lucielle Voeffray\Dossier de projet\rendu\annexes\"/>
    </mc:Choice>
  </mc:AlternateContent>
  <xr:revisionPtr revIDLastSave="0" documentId="13_ncr:1_{52532B75-2FC9-42C9-A4FF-48CEF414DE50}" xr6:coauthVersionLast="47" xr6:coauthVersionMax="47" xr10:uidLastSave="{00000000-0000-0000-0000-000000000000}"/>
  <bookViews>
    <workbookView xWindow="28680" yWindow="-120" windowWidth="29040" windowHeight="15720" xr2:uid="{00000000-000D-0000-FFFF-FFFF00000000}"/>
  </bookViews>
  <sheets>
    <sheet name="Journal" sheetId="8" r:id="rId1"/>
  </sheets>
  <definedNames>
    <definedName name="_xlnm._FilterDatabase" localSheetId="0" hidden="1">Journal!$A$5:$HI$5</definedName>
    <definedName name="_xlnm.Print_Titles" localSheetId="0">Journal!$B:$D,Journal!$1:$5</definedName>
    <definedName name="_xlnm.Print_Area" localSheetId="0">Journal!$A$1:$D$91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89" i="8" l="1"/>
  <c r="D56" i="8"/>
  <c r="D63" i="8"/>
  <c r="D39" i="8"/>
  <c r="D31" i="8"/>
  <c r="D13" i="8"/>
  <c r="D49" i="8"/>
  <c r="D85" i="8"/>
  <c r="D80" i="8"/>
  <c r="D73" i="8"/>
  <c r="D44" i="8"/>
  <c r="D19" i="8"/>
  <c r="D91" i="8" l="1"/>
</calcChain>
</file>

<file path=xl/sharedStrings.xml><?xml version="1.0" encoding="utf-8"?>
<sst xmlns="http://schemas.openxmlformats.org/spreadsheetml/2006/main" count="97" uniqueCount="71">
  <si>
    <t>Insérer les lignes au-dessus de celle-ci !</t>
  </si>
  <si>
    <t>Date</t>
  </si>
  <si>
    <t>Travail effectué</t>
  </si>
  <si>
    <t>[H.h]</t>
  </si>
  <si>
    <t>Temps</t>
  </si>
  <si>
    <t>Total &gt;</t>
  </si>
  <si>
    <r>
      <t xml:space="preserve">Réflexion personnelle </t>
    </r>
    <r>
      <rPr>
        <sz val="8"/>
        <rFont val="Calibri"/>
        <family val="2"/>
      </rPr>
      <t>↓↓↓</t>
    </r>
  </si>
  <si>
    <t>Total général &gt;</t>
  </si>
  <si>
    <t>DOC - Context et objectifs du projet</t>
  </si>
  <si>
    <t>DOC - Analyse par domaines de technologies</t>
  </si>
  <si>
    <t>DOC - Analyse des outils d'automatisation</t>
  </si>
  <si>
    <t>DOC - Rentabilité et valeurs ajoutée</t>
  </si>
  <si>
    <t>DOC - Analyse des risques</t>
  </si>
  <si>
    <t>DOC - Sécurité de l'information et protection des données</t>
  </si>
  <si>
    <t>DOC - Comparaison et choix</t>
  </si>
  <si>
    <t>D'habitude l'analyse me fait des soucis, visiblement les derniers modules ont bien permis de m'habituer à celle-ci.</t>
  </si>
  <si>
    <t>Préparation au rendez-vous expert</t>
  </si>
  <si>
    <t>DOC - Exigences techniques et fonctionnelles</t>
  </si>
  <si>
    <t>DOC - Concept d'implémentation</t>
  </si>
  <si>
    <r>
      <t>Projet :</t>
    </r>
    <r>
      <rPr>
        <b/>
        <sz val="14"/>
        <rFont val="Arial"/>
        <family val="2"/>
      </rPr>
      <t xml:space="preserve"> Automatisation sur un cluster Proxmox</t>
    </r>
    <r>
      <rPr>
        <sz val="14"/>
        <rFont val="Arial"/>
        <family val="2"/>
      </rPr>
      <t xml:space="preserve">      </t>
    </r>
    <r>
      <rPr>
        <sz val="16"/>
        <rFont val="Arial"/>
        <family val="2"/>
      </rPr>
      <t xml:space="preserve">                      </t>
    </r>
  </si>
  <si>
    <t>Voeffray Lucielle</t>
  </si>
  <si>
    <t>PV - Premier rendez-vous expert</t>
  </si>
  <si>
    <t>Je n'ai pas rencontré de problèmes durant cette demi journée. La rencontre experts m'a bien permis de me mettre en confiance, les experts semblent très sympa et tou devrait biewn se passer.</t>
  </si>
  <si>
    <t>SCHEMA - ProxMox</t>
  </si>
  <si>
    <t>DOC - Concept de formation</t>
  </si>
  <si>
    <t>DOC - Concept de tests</t>
  </si>
  <si>
    <t>Recherche d'info gestion IP</t>
  </si>
  <si>
    <t>DOC - Moyens nécessaires</t>
  </si>
  <si>
    <t>DOC - Structure de la codebase</t>
  </si>
  <si>
    <t>Câblage du RACK</t>
  </si>
  <si>
    <t>Configurer IPMI</t>
  </si>
  <si>
    <t>Installation OS - Problème et solution détaillée au point 6.1.1</t>
  </si>
  <si>
    <t>Création des OSD Ceph - Problème et solution au point 6.2.2</t>
  </si>
  <si>
    <t>Configurer le cluster - Problème et solution au point 6.2.1</t>
  </si>
  <si>
    <t>Ajouter les utilisateurs nécessaires</t>
  </si>
  <si>
    <t>Accorder les accès aux utilisateurs</t>
  </si>
  <si>
    <t>Mettre en place l'infra nécessaire à Ansible (LXC + Codebase)</t>
  </si>
  <si>
    <t>Tester la connexion Ansible - Cluster</t>
  </si>
  <si>
    <t>Sysprep les OS</t>
  </si>
  <si>
    <t>Je n'ai pas grand-chose à raconter outre que ça avance beaucoup plus vite qu'anticipé. Je me sousestime grandement il semblerait. Je pense que ça vient du fait que je n'ai pas beaucoup eu d'occasion de tester mes capacités en situation réelles, les projets de modules étant habituellements centrés sur une ou deux compétences.</t>
  </si>
  <si>
    <t>Et c'est là ou le fun commence ! J'aime les problèmes ! Tant que je ne casse pas quelque chose de critique… Mais même là, le cluster fait que je réplique tout sur 3 machines, c'est largement récupérable.</t>
  </si>
  <si>
    <t>Créer Template</t>
  </si>
  <si>
    <t>J'ai passé 2h sur une erreur d'orthographe T-T Vraiment je me fatigue</t>
  </si>
  <si>
    <t>Créer le playbook pour créer les VMs</t>
  </si>
  <si>
    <t>Créer le playbook pour détruire les VMs</t>
  </si>
  <si>
    <t>Finir le debug du playbook de création de VMs</t>
  </si>
  <si>
    <t>Créer le playbook pour supprimmer des VMs</t>
  </si>
  <si>
    <t>Extrêment frustrant l'expérience Sysprep avec Windows… Comme tout ce que je fait avec Windows pour être honnête. C'est contre mon gré…</t>
  </si>
  <si>
    <t>Je ne souhaite à personne de devoir changer l'IP des nodes d'un cluster Proxmox. Ce n'est pas fondamentalement compliqué, mais suivant comment c'est géré, ça fait paniquer très fort d'avoir tout cassé</t>
  </si>
  <si>
    <t>Mise en place du firewall</t>
  </si>
  <si>
    <t>Tests</t>
  </si>
  <si>
    <t>Documentation des problèmes</t>
  </si>
  <si>
    <r>
      <t>Recréer un sysprep de windows server:</t>
    </r>
    <r>
      <rPr>
        <sz val="8"/>
        <color rgb="FF00B050"/>
        <rFont val="Arial"/>
        <family val="2"/>
      </rPr>
      <t xml:space="preserve"> Problème et solution au point 6.2.5</t>
    </r>
  </si>
  <si>
    <r>
      <t>Tests de net-XX : Mauvaises IPs dans le réseau management:</t>
    </r>
    <r>
      <rPr>
        <sz val="8"/>
        <color rgb="FF00B050"/>
        <rFont val="Arial"/>
        <family val="2"/>
      </rPr>
      <t xml:space="preserve"> Problème et solution au point 6.2.6</t>
    </r>
  </si>
  <si>
    <t>Rendez-vous expert + PV</t>
  </si>
  <si>
    <t>Manuel utilisateur</t>
  </si>
  <si>
    <t>Documentation</t>
  </si>
  <si>
    <t>Relecture de la codebase</t>
  </si>
  <si>
    <t>Relecture de la documentation</t>
  </si>
  <si>
    <t>ça avance à la vitesse de la lumière, je ne pense pas en avoir encore pour 20h de travail et ça me rassure grandement</t>
  </si>
  <si>
    <t>Sysprep… Je déteste Microsoft et ça semble se péréniser plus le temps passe…</t>
  </si>
  <si>
    <t>Guide utilisateur</t>
  </si>
  <si>
    <t>Qu'est-ce que je déteste passer une journée entière sur de la documentation !! C'est vraiment difficile de rester concentrée… Je sais, d'expérience amère, que c'est le plus important. Mais quel ennui !</t>
  </si>
  <si>
    <t>Contrôle des critères d'évaluation</t>
  </si>
  <si>
    <t>Approfondisssement du guide utilisateur</t>
  </si>
  <si>
    <t>Même commentaire que le 2 juin, ça avance mais c'est d'un ennui.</t>
  </si>
  <si>
    <t>Rendu de la documentation</t>
  </si>
  <si>
    <t>Création des PDFs et finitions du dossier de rendu</t>
  </si>
  <si>
    <t>Et voilà, fini. Ce projet aura été une formalité plutôt qu'un défis, et ça me rassure grandement</t>
  </si>
  <si>
    <r>
      <t xml:space="preserve">Playbook ne trouve pas le template: </t>
    </r>
    <r>
      <rPr>
        <sz val="8"/>
        <color rgb="FF00B050"/>
        <rFont val="Arial"/>
        <family val="2"/>
      </rPr>
      <t>Problème et solution au point 6.2.3</t>
    </r>
  </si>
  <si>
    <r>
      <t xml:space="preserve">Playbook qui reçoit un 403: </t>
    </r>
    <r>
      <rPr>
        <sz val="8"/>
        <color rgb="FF00B050"/>
        <rFont val="Arial"/>
        <family val="2"/>
      </rPr>
      <t>Problème et solution au point 6.2.4</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</si>
</sst>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
    <numFmt numFmtId="165" formatCode="0.0"/>
  </numFmts>
  <fonts count="13" x14ac:knownFonts="1">
    <font>
      <sz val="10"/>
      <name val="Arial"/>
    </font>
    <font>
      <b/>
      <sz val="10"/>
      <name val="Arial"/>
      <family val="2"/>
    </font>
    <font>
      <b/>
      <sz val="14"/>
      <name val="Arial"/>
      <family val="2"/>
    </font>
    <font>
      <sz val="10"/>
      <color rgb="FFFF0000"/>
      <name val="Arial"/>
      <family val="2"/>
    </font>
    <font>
      <sz val="8"/>
      <name val="Arial"/>
      <family val="2"/>
    </font>
    <font>
      <sz val="16"/>
      <name val="Arial"/>
      <family val="2"/>
    </font>
    <font>
      <sz val="14"/>
      <name val="Arial"/>
      <family val="2"/>
    </font>
    <font>
      <b/>
      <sz val="16"/>
      <name val="Arial"/>
      <family val="2"/>
    </font>
    <font>
      <sz val="9"/>
      <name val="Arial"/>
      <family val="2"/>
    </font>
    <font>
      <sz val="8"/>
      <name val="Calibri"/>
      <family val="2"/>
    </font>
    <font>
      <b/>
      <sz val="8"/>
      <name val="Arial"/>
      <family val="2"/>
    </font>
    <font>
      <sz val="8"/>
      <color rgb="FFFF0000"/>
      <name val="Arial"/>
      <family val="2"/>
    </font>
    <font>
      <sz val="8"/>
      <color rgb="FF00B050"/>
      <name val="Arial"/>
      <family val="2"/>
    </font>
  </fonts>
  <fills count="4">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top/>
      <bottom style="medium">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medium">
        <color indexed="64"/>
      </bottom>
      <diagonal/>
    </border>
    <border>
      <left/>
      <right style="thin">
        <color indexed="64"/>
      </right>
      <top/>
      <bottom style="thin">
        <color indexed="64"/>
      </bottom>
      <diagonal/>
    </border>
    <border>
      <left/>
      <right style="thin">
        <color indexed="64"/>
      </right>
      <top style="thin">
        <color indexed="64"/>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48">
    <xf numFmtId="0" fontId="0" fillId="0" borderId="0" xfId="0"/>
    <xf numFmtId="0" fontId="0" fillId="0" borderId="0" xfId="0" applyProtection="1">
      <protection locked="0"/>
    </xf>
    <xf numFmtId="0" fontId="4" fillId="3" borderId="9" xfId="0" applyFont="1" applyFill="1" applyBorder="1" applyAlignment="1" applyProtection="1">
      <alignment horizontal="left" vertical="center"/>
      <protection locked="0"/>
    </xf>
    <xf numFmtId="0" fontId="4" fillId="3" borderId="14" xfId="0" applyFont="1" applyFill="1" applyBorder="1" applyAlignment="1" applyProtection="1">
      <alignment horizontal="right" vertical="center"/>
      <protection locked="0"/>
    </xf>
    <xf numFmtId="0" fontId="6" fillId="0" borderId="1" xfId="0" applyFont="1" applyBorder="1" applyAlignment="1" applyProtection="1">
      <alignment horizontal="left"/>
      <protection locked="0"/>
    </xf>
    <xf numFmtId="0" fontId="1" fillId="0" borderId="7" xfId="0" applyFont="1" applyBorder="1" applyAlignment="1" applyProtection="1">
      <alignment horizontal="center"/>
      <protection locked="0"/>
    </xf>
    <xf numFmtId="0" fontId="8" fillId="0" borderId="4" xfId="0" applyFont="1" applyBorder="1" applyAlignment="1" applyProtection="1">
      <alignment horizontal="center"/>
      <protection locked="0"/>
    </xf>
    <xf numFmtId="165" fontId="4" fillId="0" borderId="7" xfId="0" applyNumberFormat="1" applyFont="1" applyBorder="1" applyAlignment="1" applyProtection="1">
      <alignment horizontal="center" vertical="center"/>
      <protection locked="0"/>
    </xf>
    <xf numFmtId="165" fontId="4" fillId="0" borderId="5" xfId="0" applyNumberFormat="1" applyFont="1" applyBorder="1" applyAlignment="1" applyProtection="1">
      <alignment horizontal="center" vertical="center"/>
      <protection locked="0"/>
    </xf>
    <xf numFmtId="165" fontId="4" fillId="0" borderId="1" xfId="0" applyNumberFormat="1" applyFont="1" applyBorder="1" applyAlignment="1" applyProtection="1">
      <alignment horizontal="center" vertical="center"/>
      <protection locked="0"/>
    </xf>
    <xf numFmtId="0" fontId="4" fillId="0" borderId="0" xfId="0" applyFont="1" applyAlignment="1" applyProtection="1">
      <alignment horizontal="left" vertical="top" wrapText="1"/>
      <protection locked="0"/>
    </xf>
    <xf numFmtId="164" fontId="0" fillId="0" borderId="0" xfId="0" applyNumberFormat="1" applyAlignment="1" applyProtection="1">
      <alignment horizontal="center" vertical="center"/>
      <protection locked="0"/>
    </xf>
    <xf numFmtId="165" fontId="10" fillId="0" borderId="1" xfId="0" applyNumberFormat="1" applyFont="1" applyBorder="1" applyAlignment="1" applyProtection="1">
      <alignment horizontal="center" vertical="center"/>
      <protection locked="0"/>
    </xf>
    <xf numFmtId="165" fontId="4" fillId="0" borderId="6" xfId="0" applyNumberFormat="1" applyFont="1" applyBorder="1" applyAlignment="1" applyProtection="1">
      <alignment horizontal="center" vertical="center"/>
      <protection locked="0"/>
    </xf>
    <xf numFmtId="0" fontId="3" fillId="2" borderId="0" xfId="0" applyFont="1" applyFill="1" applyAlignment="1" applyProtection="1">
      <alignment horizontal="center"/>
      <protection locked="0"/>
    </xf>
    <xf numFmtId="164" fontId="0" fillId="0" borderId="7" xfId="0" applyNumberFormat="1" applyBorder="1" applyAlignment="1" applyProtection="1">
      <alignment horizontal="center" vertical="center"/>
      <protection locked="0"/>
    </xf>
    <xf numFmtId="164" fontId="0" fillId="0" borderId="5" xfId="0" applyNumberFormat="1" applyBorder="1" applyAlignment="1" applyProtection="1">
      <alignment horizontal="center" vertical="center"/>
      <protection locked="0"/>
    </xf>
    <xf numFmtId="0" fontId="4" fillId="0" borderId="10" xfId="0" applyFont="1" applyBorder="1" applyAlignment="1" applyProtection="1">
      <alignment horizontal="left" vertical="center"/>
      <protection locked="0"/>
    </xf>
    <xf numFmtId="0" fontId="4" fillId="0" borderId="6" xfId="0" applyFont="1" applyBorder="1" applyAlignment="1" applyProtection="1">
      <alignment horizontal="left" vertical="center"/>
      <protection locked="0"/>
    </xf>
    <xf numFmtId="0" fontId="4" fillId="0" borderId="16" xfId="0" applyFont="1" applyBorder="1" applyAlignment="1" applyProtection="1">
      <alignment horizontal="left" vertical="top" wrapText="1"/>
      <protection locked="0"/>
    </xf>
    <xf numFmtId="0" fontId="4" fillId="0" borderId="17" xfId="0" applyFont="1" applyBorder="1" applyAlignment="1" applyProtection="1">
      <alignment horizontal="left" vertical="top" wrapText="1"/>
      <protection locked="0"/>
    </xf>
    <xf numFmtId="0" fontId="4" fillId="0" borderId="18" xfId="0" applyFont="1" applyBorder="1" applyAlignment="1" applyProtection="1">
      <alignment horizontal="left" vertical="top" wrapText="1"/>
      <protection locked="0"/>
    </xf>
    <xf numFmtId="164" fontId="0" fillId="0" borderId="2" xfId="0" applyNumberFormat="1" applyBorder="1" applyAlignment="1" applyProtection="1">
      <alignment horizontal="center" vertical="center"/>
      <protection locked="0"/>
    </xf>
    <xf numFmtId="0" fontId="11" fillId="0" borderId="10" xfId="0" applyFont="1" applyBorder="1" applyAlignment="1" applyProtection="1">
      <alignment horizontal="left" vertical="center"/>
      <protection locked="0"/>
    </xf>
    <xf numFmtId="0" fontId="11" fillId="0" borderId="6" xfId="0" applyFont="1" applyBorder="1" applyAlignment="1" applyProtection="1">
      <alignment horizontal="left" vertical="center"/>
      <protection locked="0"/>
    </xf>
    <xf numFmtId="0" fontId="4" fillId="0" borderId="11" xfId="0" applyFont="1" applyBorder="1" applyAlignment="1" applyProtection="1">
      <alignment horizontal="left" vertical="top" wrapText="1"/>
      <protection locked="0"/>
    </xf>
    <xf numFmtId="0" fontId="4" fillId="0" borderId="15" xfId="0" applyFont="1" applyBorder="1" applyAlignment="1" applyProtection="1">
      <alignment horizontal="left" vertical="top" wrapText="1"/>
      <protection locked="0"/>
    </xf>
    <xf numFmtId="0" fontId="4" fillId="0" borderId="13" xfId="0" applyFont="1" applyBorder="1" applyAlignment="1" applyProtection="1">
      <alignment horizontal="left" vertical="top" wrapText="1"/>
      <protection locked="0"/>
    </xf>
    <xf numFmtId="0" fontId="7" fillId="0" borderId="0" xfId="0" applyFont="1" applyAlignment="1" applyProtection="1">
      <alignment horizontal="left"/>
      <protection locked="0"/>
    </xf>
    <xf numFmtId="0" fontId="1" fillId="0" borderId="9" xfId="0" applyFont="1" applyBorder="1" applyAlignment="1" applyProtection="1">
      <alignment horizontal="left" vertical="center"/>
      <protection locked="0"/>
    </xf>
    <xf numFmtId="0" fontId="1" fillId="0" borderId="14" xfId="0" applyFont="1" applyBorder="1" applyAlignment="1" applyProtection="1">
      <alignment horizontal="left" vertical="center"/>
      <protection locked="0"/>
    </xf>
    <xf numFmtId="0" fontId="1" fillId="0" borderId="8" xfId="0" applyFont="1" applyBorder="1" applyAlignment="1" applyProtection="1">
      <alignment horizontal="left" vertical="center"/>
      <protection locked="0"/>
    </xf>
    <xf numFmtId="0" fontId="1" fillId="0" borderId="12" xfId="0" applyFont="1" applyBorder="1" applyAlignment="1" applyProtection="1">
      <alignment horizontal="left" vertical="center"/>
      <protection locked="0"/>
    </xf>
    <xf numFmtId="0" fontId="6" fillId="0" borderId="0" xfId="0" applyFont="1" applyAlignment="1" applyProtection="1">
      <alignment horizontal="left"/>
      <protection locked="0"/>
    </xf>
    <xf numFmtId="0" fontId="6" fillId="0" borderId="6" xfId="0" applyFont="1" applyBorder="1" applyAlignment="1" applyProtection="1">
      <alignment horizontal="left"/>
      <protection locked="0"/>
    </xf>
    <xf numFmtId="164" fontId="0" fillId="0" borderId="3" xfId="0" applyNumberFormat="1" applyBorder="1" applyAlignment="1" applyProtection="1">
      <alignment horizontal="center" vertical="center"/>
      <protection locked="0"/>
    </xf>
    <xf numFmtId="164" fontId="0" fillId="0" borderId="10" xfId="0" applyNumberFormat="1" applyBorder="1" applyAlignment="1" applyProtection="1">
      <alignment horizontal="center" vertical="center"/>
      <protection locked="0"/>
    </xf>
    <xf numFmtId="0" fontId="4" fillId="0" borderId="11" xfId="0" applyFont="1" applyBorder="1" applyAlignment="1" applyProtection="1">
      <alignment horizontal="left" vertical="center"/>
      <protection locked="0"/>
    </xf>
    <xf numFmtId="0" fontId="4" fillId="0" borderId="13" xfId="0" applyFont="1" applyBorder="1" applyAlignment="1" applyProtection="1">
      <alignment horizontal="left" vertical="center"/>
      <protection locked="0"/>
    </xf>
    <xf numFmtId="0" fontId="4" fillId="0" borderId="9" xfId="0" applyFont="1" applyBorder="1" applyAlignment="1" applyProtection="1">
      <alignment horizontal="left" vertical="center"/>
      <protection locked="0"/>
    </xf>
    <xf numFmtId="0" fontId="4" fillId="0" borderId="14" xfId="0" applyFont="1" applyBorder="1" applyAlignment="1" applyProtection="1">
      <alignment horizontal="left" vertical="center"/>
      <protection locked="0"/>
    </xf>
    <xf numFmtId="0" fontId="4" fillId="0" borderId="10" xfId="0" applyFont="1" applyBorder="1" applyAlignment="1" applyProtection="1">
      <alignment horizontal="left" vertical="top" wrapText="1"/>
      <protection locked="0"/>
    </xf>
    <xf numFmtId="0" fontId="4" fillId="0" borderId="0" xfId="0" applyFont="1" applyAlignment="1" applyProtection="1">
      <alignment horizontal="left" vertical="top" wrapText="1"/>
      <protection locked="0"/>
    </xf>
    <xf numFmtId="0" fontId="4" fillId="0" borderId="6" xfId="0" applyFont="1" applyBorder="1" applyAlignment="1" applyProtection="1">
      <alignment horizontal="left" vertical="top" wrapText="1"/>
      <protection locked="0"/>
    </xf>
    <xf numFmtId="0" fontId="11" fillId="0" borderId="9" xfId="0" applyFont="1" applyBorder="1" applyAlignment="1" applyProtection="1">
      <alignment horizontal="left" vertical="center"/>
      <protection locked="0"/>
    </xf>
    <xf numFmtId="0" fontId="11" fillId="0" borderId="14" xfId="0" applyFont="1" applyBorder="1" applyAlignment="1" applyProtection="1">
      <alignment horizontal="left" vertical="center"/>
      <protection locked="0"/>
    </xf>
    <xf numFmtId="0" fontId="11" fillId="0" borderId="10" xfId="0" applyFont="1" applyBorder="1" applyAlignment="1" applyProtection="1">
      <alignment horizontal="left" vertical="center" wrapText="1"/>
      <protection locked="0"/>
    </xf>
    <xf numFmtId="0" fontId="11" fillId="0" borderId="6" xfId="0" applyFont="1" applyBorder="1" applyAlignment="1" applyProtection="1">
      <alignment horizontal="left" vertical="center" wrapText="1"/>
      <protection locked="0"/>
    </xf>
  </cellXfs>
  <cellStyles count="1">
    <cellStyle name="Normal" xfId="0" builtinId="0"/>
  </cellStyles>
  <dxfs count="14">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00B050"/>
        </patternFill>
      </fill>
    </dxf>
    <dxf>
      <font>
        <strike val="0"/>
        <color auto="1"/>
      </font>
      <fill>
        <patternFill>
          <bgColor rgb="FFFFC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92"/>
  <sheetViews>
    <sheetView tabSelected="1" view="pageLayout" zoomScale="190" zoomScaleNormal="115" zoomScaleSheetLayoutView="115" zoomScalePageLayoutView="190" workbookViewId="0">
      <pane ySplit="1" activePane="bottomLeft"/>
      <selection activeCell="D5" sqref="A5:XFD5"/>
      <selection pane="bottomLeft" activeCell="B3" sqref="B3"/>
    </sheetView>
  </sheetViews>
  <sheetFormatPr baseColWidth="10" defaultColWidth="11.5703125" defaultRowHeight="12.75" x14ac:dyDescent="0.2"/>
  <cols>
    <col min="1" max="1" width="11.5703125" style="1"/>
    <col min="2" max="3" width="31.7109375" style="1" customWidth="1"/>
    <col min="4" max="4" width="15.7109375" style="1" customWidth="1"/>
    <col min="5" max="217" width="9.140625" style="1" customWidth="1"/>
    <col min="218" max="16384" width="11.5703125" style="1"/>
  </cols>
  <sheetData>
    <row r="1" spans="1:4" ht="20.25" x14ac:dyDescent="0.3">
      <c r="A1" s="28" t="s">
        <v>19</v>
      </c>
      <c r="B1" s="28"/>
      <c r="C1" s="28"/>
      <c r="D1" s="28"/>
    </row>
    <row r="2" spans="1:4" ht="18" x14ac:dyDescent="0.25">
      <c r="A2" s="33" t="s">
        <v>20</v>
      </c>
      <c r="B2" s="33"/>
      <c r="C2" s="34"/>
      <c r="D2" s="4">
        <v>157443</v>
      </c>
    </row>
    <row r="4" spans="1:4" ht="12" customHeight="1" x14ac:dyDescent="0.2">
      <c r="A4" s="29" t="s">
        <v>1</v>
      </c>
      <c r="B4" s="29" t="s">
        <v>2</v>
      </c>
      <c r="C4" s="30"/>
      <c r="D4" s="5" t="s">
        <v>4</v>
      </c>
    </row>
    <row r="5" spans="1:4" ht="13.5" thickBot="1" x14ac:dyDescent="0.25">
      <c r="A5" s="31"/>
      <c r="B5" s="31"/>
      <c r="C5" s="32"/>
      <c r="D5" s="6" t="s">
        <v>3</v>
      </c>
    </row>
    <row r="6" spans="1:4" ht="12.75" customHeight="1" x14ac:dyDescent="0.2">
      <c r="A6" s="35">
        <v>46153</v>
      </c>
      <c r="B6" s="17" t="s">
        <v>8</v>
      </c>
      <c r="C6" s="18"/>
      <c r="D6" s="7">
        <v>1</v>
      </c>
    </row>
    <row r="7" spans="1:4" x14ac:dyDescent="0.2">
      <c r="A7" s="16"/>
      <c r="B7" s="17" t="s">
        <v>9</v>
      </c>
      <c r="C7" s="18"/>
      <c r="D7" s="8">
        <v>1</v>
      </c>
    </row>
    <row r="8" spans="1:4" x14ac:dyDescent="0.2">
      <c r="A8" s="16"/>
      <c r="B8" s="17" t="s">
        <v>10</v>
      </c>
      <c r="C8" s="18"/>
      <c r="D8" s="8">
        <v>2</v>
      </c>
    </row>
    <row r="9" spans="1:4" x14ac:dyDescent="0.2">
      <c r="A9" s="16"/>
      <c r="B9" s="17" t="s">
        <v>14</v>
      </c>
      <c r="C9" s="18"/>
      <c r="D9" s="8">
        <v>1</v>
      </c>
    </row>
    <row r="10" spans="1:4" x14ac:dyDescent="0.2">
      <c r="A10" s="16"/>
      <c r="B10" s="17" t="s">
        <v>11</v>
      </c>
      <c r="C10" s="18"/>
      <c r="D10" s="8">
        <v>1</v>
      </c>
    </row>
    <row r="11" spans="1:4" x14ac:dyDescent="0.2">
      <c r="A11" s="16"/>
      <c r="B11" s="17" t="s">
        <v>12</v>
      </c>
      <c r="C11" s="18"/>
      <c r="D11" s="8">
        <v>1</v>
      </c>
    </row>
    <row r="12" spans="1:4" x14ac:dyDescent="0.2">
      <c r="A12" s="16"/>
      <c r="B12" s="17" t="s">
        <v>13</v>
      </c>
      <c r="C12" s="18"/>
      <c r="D12" s="8">
        <v>1</v>
      </c>
    </row>
    <row r="13" spans="1:4" x14ac:dyDescent="0.2">
      <c r="A13" s="16"/>
      <c r="B13" s="2" t="s">
        <v>6</v>
      </c>
      <c r="C13" s="3" t="s">
        <v>5</v>
      </c>
      <c r="D13" s="7">
        <f>SUM(D6:D12)</f>
        <v>8</v>
      </c>
    </row>
    <row r="14" spans="1:4" ht="14.25" customHeight="1" x14ac:dyDescent="0.2">
      <c r="A14" s="16"/>
      <c r="B14" s="19" t="s">
        <v>15</v>
      </c>
      <c r="C14" s="20"/>
      <c r="D14" s="21"/>
    </row>
    <row r="15" spans="1:4" ht="12.75" customHeight="1" x14ac:dyDescent="0.2">
      <c r="A15" s="15">
        <v>46154</v>
      </c>
      <c r="B15" s="17" t="s">
        <v>16</v>
      </c>
      <c r="C15" s="18"/>
      <c r="D15" s="8">
        <v>0.5</v>
      </c>
    </row>
    <row r="16" spans="1:4" x14ac:dyDescent="0.2">
      <c r="A16" s="16"/>
      <c r="B16" s="17" t="s">
        <v>17</v>
      </c>
      <c r="C16" s="18"/>
      <c r="D16" s="8">
        <v>0.5</v>
      </c>
    </row>
    <row r="17" spans="1:4" x14ac:dyDescent="0.2">
      <c r="A17" s="16"/>
      <c r="B17" s="17" t="s">
        <v>18</v>
      </c>
      <c r="C17" s="18"/>
      <c r="D17" s="8">
        <v>2.5</v>
      </c>
    </row>
    <row r="18" spans="1:4" x14ac:dyDescent="0.2">
      <c r="A18" s="16"/>
      <c r="B18" s="17" t="s">
        <v>21</v>
      </c>
      <c r="C18" s="18"/>
      <c r="D18" s="8">
        <v>0.5</v>
      </c>
    </row>
    <row r="19" spans="1:4" x14ac:dyDescent="0.2">
      <c r="A19" s="16"/>
      <c r="B19" s="2" t="s">
        <v>6</v>
      </c>
      <c r="C19" s="3" t="s">
        <v>5</v>
      </c>
      <c r="D19" s="7">
        <f>SUM(D15:D18)</f>
        <v>4</v>
      </c>
    </row>
    <row r="20" spans="1:4" ht="24.95" customHeight="1" x14ac:dyDescent="0.2">
      <c r="A20" s="16"/>
      <c r="B20" s="19" t="s">
        <v>22</v>
      </c>
      <c r="C20" s="20"/>
      <c r="D20" s="21"/>
    </row>
    <row r="21" spans="1:4" x14ac:dyDescent="0.2">
      <c r="A21" s="15">
        <v>46157</v>
      </c>
      <c r="B21" s="17" t="s">
        <v>23</v>
      </c>
      <c r="C21" s="18"/>
      <c r="D21" s="8">
        <v>1</v>
      </c>
    </row>
    <row r="22" spans="1:4" x14ac:dyDescent="0.2">
      <c r="A22" s="16"/>
      <c r="B22" s="17" t="s">
        <v>24</v>
      </c>
      <c r="C22" s="18"/>
      <c r="D22" s="8">
        <v>0.5</v>
      </c>
    </row>
    <row r="23" spans="1:4" x14ac:dyDescent="0.2">
      <c r="A23" s="16"/>
      <c r="B23" s="17" t="s">
        <v>25</v>
      </c>
      <c r="C23" s="18"/>
      <c r="D23" s="8">
        <v>1</v>
      </c>
    </row>
    <row r="24" spans="1:4" x14ac:dyDescent="0.2">
      <c r="A24" s="16"/>
      <c r="B24" s="17" t="s">
        <v>26</v>
      </c>
      <c r="C24" s="18"/>
      <c r="D24" s="8">
        <v>0.5</v>
      </c>
    </row>
    <row r="25" spans="1:4" x14ac:dyDescent="0.2">
      <c r="A25" s="16"/>
      <c r="B25" s="17" t="s">
        <v>28</v>
      </c>
      <c r="C25" s="18"/>
      <c r="D25" s="8">
        <v>1</v>
      </c>
    </row>
    <row r="26" spans="1:4" x14ac:dyDescent="0.2">
      <c r="A26" s="16"/>
      <c r="B26" s="17" t="s">
        <v>27</v>
      </c>
      <c r="C26" s="18"/>
      <c r="D26" s="8">
        <v>0.5</v>
      </c>
    </row>
    <row r="27" spans="1:4" x14ac:dyDescent="0.2">
      <c r="A27" s="16"/>
      <c r="B27" s="17" t="s">
        <v>29</v>
      </c>
      <c r="C27" s="18"/>
      <c r="D27" s="8">
        <v>0.5</v>
      </c>
    </row>
    <row r="28" spans="1:4" x14ac:dyDescent="0.2">
      <c r="A28" s="16"/>
      <c r="B28" s="17" t="s">
        <v>30</v>
      </c>
      <c r="C28" s="18"/>
      <c r="D28" s="8">
        <v>0.3</v>
      </c>
    </row>
    <row r="29" spans="1:4" x14ac:dyDescent="0.2">
      <c r="A29" s="36"/>
      <c r="B29" s="46" t="s">
        <v>31</v>
      </c>
      <c r="C29" s="47"/>
      <c r="D29" s="13">
        <v>0.7</v>
      </c>
    </row>
    <row r="30" spans="1:4" x14ac:dyDescent="0.2">
      <c r="A30" s="16"/>
      <c r="B30" s="23" t="s">
        <v>33</v>
      </c>
      <c r="C30" s="24"/>
      <c r="D30" s="8">
        <v>2</v>
      </c>
    </row>
    <row r="31" spans="1:4" x14ac:dyDescent="0.2">
      <c r="A31" s="16"/>
      <c r="B31" s="2" t="s">
        <v>6</v>
      </c>
      <c r="C31" s="3" t="s">
        <v>5</v>
      </c>
      <c r="D31" s="7">
        <f>SUM(D21:D30)</f>
        <v>8</v>
      </c>
    </row>
    <row r="32" spans="1:4" ht="24.95" customHeight="1" x14ac:dyDescent="0.2">
      <c r="A32" s="16"/>
      <c r="B32" s="19" t="s">
        <v>40</v>
      </c>
      <c r="C32" s="20"/>
      <c r="D32" s="21"/>
    </row>
    <row r="33" spans="1:4" ht="12.75" customHeight="1" x14ac:dyDescent="0.2">
      <c r="A33" s="15">
        <v>46160</v>
      </c>
      <c r="B33" s="23" t="s">
        <v>32</v>
      </c>
      <c r="C33" s="24"/>
      <c r="D33" s="8">
        <v>1</v>
      </c>
    </row>
    <row r="34" spans="1:4" x14ac:dyDescent="0.2">
      <c r="A34" s="16"/>
      <c r="B34" s="17" t="s">
        <v>34</v>
      </c>
      <c r="C34" s="18"/>
      <c r="D34" s="8">
        <v>0.5</v>
      </c>
    </row>
    <row r="35" spans="1:4" x14ac:dyDescent="0.2">
      <c r="A35" s="16"/>
      <c r="B35" s="17" t="s">
        <v>35</v>
      </c>
      <c r="C35" s="18"/>
      <c r="D35" s="8">
        <v>1.5</v>
      </c>
    </row>
    <row r="36" spans="1:4" x14ac:dyDescent="0.2">
      <c r="A36" s="16"/>
      <c r="B36" s="17" t="s">
        <v>36</v>
      </c>
      <c r="C36" s="18"/>
      <c r="D36" s="8">
        <v>1</v>
      </c>
    </row>
    <row r="37" spans="1:4" x14ac:dyDescent="0.2">
      <c r="A37" s="16"/>
      <c r="B37" s="17" t="s">
        <v>37</v>
      </c>
      <c r="C37" s="18"/>
      <c r="D37" s="8">
        <v>2</v>
      </c>
    </row>
    <row r="38" spans="1:4" x14ac:dyDescent="0.2">
      <c r="A38" s="16"/>
      <c r="B38" s="17" t="s">
        <v>38</v>
      </c>
      <c r="C38" s="18"/>
      <c r="D38" s="8">
        <v>2</v>
      </c>
    </row>
    <row r="39" spans="1:4" x14ac:dyDescent="0.2">
      <c r="A39" s="16"/>
      <c r="B39" s="2" t="s">
        <v>6</v>
      </c>
      <c r="C39" s="3" t="s">
        <v>5</v>
      </c>
      <c r="D39" s="9">
        <f>SUM(D33:D38)</f>
        <v>8</v>
      </c>
    </row>
    <row r="40" spans="1:4" ht="39" customHeight="1" x14ac:dyDescent="0.2">
      <c r="A40" s="22"/>
      <c r="B40" s="25" t="s">
        <v>39</v>
      </c>
      <c r="C40" s="26"/>
      <c r="D40" s="27"/>
    </row>
    <row r="41" spans="1:4" ht="14.25" customHeight="1" x14ac:dyDescent="0.2">
      <c r="A41" s="15">
        <v>46161</v>
      </c>
      <c r="B41" s="17" t="s">
        <v>38</v>
      </c>
      <c r="C41" s="18"/>
      <c r="D41" s="7">
        <v>2</v>
      </c>
    </row>
    <row r="42" spans="1:4" x14ac:dyDescent="0.2">
      <c r="A42" s="16"/>
      <c r="B42" s="17" t="s">
        <v>41</v>
      </c>
      <c r="C42" s="18"/>
      <c r="D42" s="8">
        <v>1</v>
      </c>
    </row>
    <row r="43" spans="1:4" x14ac:dyDescent="0.2">
      <c r="A43" s="16"/>
      <c r="B43" s="17" t="s">
        <v>43</v>
      </c>
      <c r="C43" s="18"/>
      <c r="D43" s="8">
        <v>1</v>
      </c>
    </row>
    <row r="44" spans="1:4" x14ac:dyDescent="0.2">
      <c r="A44" s="16"/>
      <c r="B44" s="2" t="s">
        <v>6</v>
      </c>
      <c r="C44" s="3" t="s">
        <v>5</v>
      </c>
      <c r="D44" s="9">
        <f>SUM(D41:D43)</f>
        <v>4</v>
      </c>
    </row>
    <row r="45" spans="1:4" ht="27.75" customHeight="1" x14ac:dyDescent="0.2">
      <c r="A45" s="22"/>
      <c r="B45" s="25" t="s">
        <v>47</v>
      </c>
      <c r="C45" s="26"/>
      <c r="D45" s="27"/>
    </row>
    <row r="46" spans="1:4" ht="12.75" customHeight="1" x14ac:dyDescent="0.2">
      <c r="A46" s="15">
        <v>46163</v>
      </c>
      <c r="B46" s="44" t="s">
        <v>69</v>
      </c>
      <c r="C46" s="45"/>
      <c r="D46" s="7">
        <v>0.1</v>
      </c>
    </row>
    <row r="47" spans="1:4" x14ac:dyDescent="0.2">
      <c r="A47" s="16"/>
      <c r="B47" s="44" t="s">
        <v>70</v>
      </c>
      <c r="C47" s="45"/>
      <c r="D47" s="8">
        <v>1.9</v>
      </c>
    </row>
    <row r="48" spans="1:4" x14ac:dyDescent="0.2">
      <c r="A48" s="16"/>
      <c r="B48" s="17" t="s">
        <v>44</v>
      </c>
      <c r="C48" s="18"/>
      <c r="D48" s="8">
        <v>2</v>
      </c>
    </row>
    <row r="49" spans="1:4" x14ac:dyDescent="0.2">
      <c r="A49" s="16"/>
      <c r="B49" s="2" t="s">
        <v>6</v>
      </c>
      <c r="C49" s="3" t="s">
        <v>5</v>
      </c>
      <c r="D49" s="9">
        <f>SUM(D46:D48)</f>
        <v>4</v>
      </c>
    </row>
    <row r="50" spans="1:4" ht="12" customHeight="1" x14ac:dyDescent="0.2">
      <c r="A50" s="22"/>
      <c r="B50" s="25" t="s">
        <v>42</v>
      </c>
      <c r="C50" s="26"/>
      <c r="D50" s="27"/>
    </row>
    <row r="51" spans="1:4" x14ac:dyDescent="0.2">
      <c r="A51" s="15">
        <v>46164</v>
      </c>
      <c r="B51" s="39" t="s">
        <v>45</v>
      </c>
      <c r="C51" s="40"/>
      <c r="D51" s="7">
        <v>1</v>
      </c>
    </row>
    <row r="52" spans="1:4" x14ac:dyDescent="0.2">
      <c r="A52" s="16"/>
      <c r="B52" s="17" t="s">
        <v>46</v>
      </c>
      <c r="C52" s="18"/>
      <c r="D52" s="8">
        <v>3</v>
      </c>
    </row>
    <row r="53" spans="1:4" x14ac:dyDescent="0.2">
      <c r="A53" s="16"/>
      <c r="B53" s="23" t="s">
        <v>52</v>
      </c>
      <c r="C53" s="24"/>
      <c r="D53" s="8">
        <v>4</v>
      </c>
    </row>
    <row r="54" spans="1:4" x14ac:dyDescent="0.2">
      <c r="A54" s="16"/>
      <c r="B54" s="17"/>
      <c r="C54" s="18"/>
      <c r="D54" s="8"/>
    </row>
    <row r="55" spans="1:4" x14ac:dyDescent="0.2">
      <c r="A55" s="16"/>
      <c r="B55" s="37"/>
      <c r="C55" s="38"/>
      <c r="D55" s="8"/>
    </row>
    <row r="56" spans="1:4" x14ac:dyDescent="0.2">
      <c r="A56" s="16"/>
      <c r="B56" s="2" t="s">
        <v>6</v>
      </c>
      <c r="C56" s="3" t="s">
        <v>5</v>
      </c>
      <c r="D56" s="9">
        <f>SUM(D51:D55)</f>
        <v>8</v>
      </c>
    </row>
    <row r="57" spans="1:4" ht="24.95" customHeight="1" x14ac:dyDescent="0.2">
      <c r="A57" s="22"/>
      <c r="B57" s="25" t="s">
        <v>60</v>
      </c>
      <c r="C57" s="26"/>
      <c r="D57" s="27"/>
    </row>
    <row r="58" spans="1:4" x14ac:dyDescent="0.2">
      <c r="A58" s="15">
        <v>46171</v>
      </c>
      <c r="B58" s="44" t="s">
        <v>53</v>
      </c>
      <c r="C58" s="45"/>
      <c r="D58" s="7">
        <v>2</v>
      </c>
    </row>
    <row r="59" spans="1:4" x14ac:dyDescent="0.2">
      <c r="A59" s="16"/>
      <c r="B59" s="17" t="s">
        <v>49</v>
      </c>
      <c r="C59" s="18"/>
      <c r="D59" s="8">
        <v>2</v>
      </c>
    </row>
    <row r="60" spans="1:4" x14ac:dyDescent="0.2">
      <c r="A60" s="16"/>
      <c r="B60" s="17" t="s">
        <v>50</v>
      </c>
      <c r="C60" s="18"/>
      <c r="D60" s="8">
        <v>4</v>
      </c>
    </row>
    <row r="61" spans="1:4" x14ac:dyDescent="0.2">
      <c r="A61" s="16"/>
      <c r="B61" s="17"/>
      <c r="C61" s="18"/>
      <c r="D61" s="8"/>
    </row>
    <row r="62" spans="1:4" x14ac:dyDescent="0.2">
      <c r="A62" s="16"/>
      <c r="B62" s="37"/>
      <c r="C62" s="38"/>
      <c r="D62" s="8"/>
    </row>
    <row r="63" spans="1:4" x14ac:dyDescent="0.2">
      <c r="A63" s="16"/>
      <c r="B63" s="2" t="s">
        <v>6</v>
      </c>
      <c r="C63" s="3" t="s">
        <v>5</v>
      </c>
      <c r="D63" s="9">
        <f>SUM(D58:D62)</f>
        <v>8</v>
      </c>
    </row>
    <row r="64" spans="1:4" ht="24.95" customHeight="1" x14ac:dyDescent="0.2">
      <c r="A64" s="22"/>
      <c r="B64" s="25" t="s">
        <v>48</v>
      </c>
      <c r="C64" s="26"/>
      <c r="D64" s="27"/>
    </row>
    <row r="65" spans="1:4" ht="12.75" customHeight="1" x14ac:dyDescent="0.2">
      <c r="A65" s="15">
        <v>46174</v>
      </c>
      <c r="B65" s="39" t="s">
        <v>50</v>
      </c>
      <c r="C65" s="40"/>
      <c r="D65" s="7">
        <v>1</v>
      </c>
    </row>
    <row r="66" spans="1:4" x14ac:dyDescent="0.2">
      <c r="A66" s="16"/>
      <c r="B66" s="17" t="s">
        <v>51</v>
      </c>
      <c r="C66" s="18"/>
      <c r="D66" s="8">
        <v>1</v>
      </c>
    </row>
    <row r="67" spans="1:4" x14ac:dyDescent="0.2">
      <c r="A67" s="16"/>
      <c r="B67" s="17" t="s">
        <v>54</v>
      </c>
      <c r="C67" s="18"/>
      <c r="D67" s="8">
        <v>1</v>
      </c>
    </row>
    <row r="68" spans="1:4" x14ac:dyDescent="0.2">
      <c r="A68" s="16"/>
      <c r="B68" s="17" t="s">
        <v>55</v>
      </c>
      <c r="C68" s="18"/>
      <c r="D68" s="8">
        <v>2</v>
      </c>
    </row>
    <row r="69" spans="1:4" x14ac:dyDescent="0.2">
      <c r="A69" s="16"/>
      <c r="B69" s="17" t="s">
        <v>56</v>
      </c>
      <c r="C69" s="18"/>
      <c r="D69" s="8">
        <v>3</v>
      </c>
    </row>
    <row r="70" spans="1:4" x14ac:dyDescent="0.2">
      <c r="A70" s="16"/>
      <c r="B70" s="17"/>
      <c r="C70" s="18"/>
      <c r="D70" s="8"/>
    </row>
    <row r="71" spans="1:4" x14ac:dyDescent="0.2">
      <c r="A71" s="16"/>
      <c r="B71" s="17"/>
      <c r="C71" s="18"/>
      <c r="D71" s="8"/>
    </row>
    <row r="72" spans="1:4" x14ac:dyDescent="0.2">
      <c r="A72" s="16"/>
      <c r="B72" s="17"/>
      <c r="C72" s="18"/>
      <c r="D72" s="8"/>
    </row>
    <row r="73" spans="1:4" x14ac:dyDescent="0.2">
      <c r="A73" s="16"/>
      <c r="B73" s="2" t="s">
        <v>6</v>
      </c>
      <c r="C73" s="3" t="s">
        <v>5</v>
      </c>
      <c r="D73" s="9">
        <f>SUM(D65:D72)</f>
        <v>8</v>
      </c>
    </row>
    <row r="74" spans="1:4" ht="24.95" customHeight="1" x14ac:dyDescent="0.2">
      <c r="A74" s="16"/>
      <c r="B74" s="41" t="s">
        <v>59</v>
      </c>
      <c r="C74" s="42"/>
      <c r="D74" s="43"/>
    </row>
    <row r="75" spans="1:4" ht="12.75" customHeight="1" x14ac:dyDescent="0.2">
      <c r="A75" s="15">
        <v>46175</v>
      </c>
      <c r="B75" s="39" t="s">
        <v>56</v>
      </c>
      <c r="C75" s="40"/>
      <c r="D75" s="7">
        <v>4</v>
      </c>
    </row>
    <row r="76" spans="1:4" x14ac:dyDescent="0.2">
      <c r="A76" s="16"/>
      <c r="B76" s="17" t="s">
        <v>57</v>
      </c>
      <c r="C76" s="18"/>
      <c r="D76" s="8">
        <v>1</v>
      </c>
    </row>
    <row r="77" spans="1:4" x14ac:dyDescent="0.2">
      <c r="A77" s="16"/>
      <c r="B77" s="17" t="s">
        <v>58</v>
      </c>
      <c r="C77" s="18"/>
      <c r="D77" s="8">
        <v>2.5</v>
      </c>
    </row>
    <row r="78" spans="1:4" x14ac:dyDescent="0.2">
      <c r="A78" s="16"/>
      <c r="B78" s="17" t="s">
        <v>61</v>
      </c>
      <c r="C78" s="18"/>
      <c r="D78" s="8">
        <v>0.5</v>
      </c>
    </row>
    <row r="79" spans="1:4" x14ac:dyDescent="0.2">
      <c r="A79" s="16"/>
      <c r="B79" s="37"/>
      <c r="C79" s="38"/>
      <c r="D79" s="8"/>
    </row>
    <row r="80" spans="1:4" x14ac:dyDescent="0.2">
      <c r="A80" s="16"/>
      <c r="B80" s="2" t="s">
        <v>6</v>
      </c>
      <c r="C80" s="3" t="s">
        <v>5</v>
      </c>
      <c r="D80" s="9">
        <f>SUM(D75:D79)</f>
        <v>8</v>
      </c>
    </row>
    <row r="81" spans="1:4" ht="24.95" customHeight="1" x14ac:dyDescent="0.2">
      <c r="A81" s="22"/>
      <c r="B81" s="25" t="s">
        <v>62</v>
      </c>
      <c r="C81" s="26"/>
      <c r="D81" s="27"/>
    </row>
    <row r="82" spans="1:4" ht="12.75" customHeight="1" x14ac:dyDescent="0.2">
      <c r="A82" s="15">
        <v>46178</v>
      </c>
      <c r="B82" s="39" t="s">
        <v>58</v>
      </c>
      <c r="C82" s="40"/>
      <c r="D82" s="7">
        <v>2</v>
      </c>
    </row>
    <row r="83" spans="1:4" x14ac:dyDescent="0.2">
      <c r="A83" s="16"/>
      <c r="B83" s="17" t="s">
        <v>63</v>
      </c>
      <c r="C83" s="18"/>
      <c r="D83" s="8">
        <v>4</v>
      </c>
    </row>
    <row r="84" spans="1:4" x14ac:dyDescent="0.2">
      <c r="A84" s="16"/>
      <c r="B84" s="17" t="s">
        <v>64</v>
      </c>
      <c r="C84" s="18"/>
      <c r="D84" s="8">
        <v>2</v>
      </c>
    </row>
    <row r="85" spans="1:4" x14ac:dyDescent="0.2">
      <c r="A85" s="16"/>
      <c r="B85" s="2" t="s">
        <v>6</v>
      </c>
      <c r="C85" s="3" t="s">
        <v>5</v>
      </c>
      <c r="D85" s="9">
        <f>SUM(D82:D84)</f>
        <v>8</v>
      </c>
    </row>
    <row r="86" spans="1:4" ht="24.95" customHeight="1" x14ac:dyDescent="0.2">
      <c r="A86" s="22"/>
      <c r="B86" s="25" t="s">
        <v>65</v>
      </c>
      <c r="C86" s="26"/>
      <c r="D86" s="27"/>
    </row>
    <row r="87" spans="1:4" ht="13.5" customHeight="1" x14ac:dyDescent="0.2">
      <c r="A87" s="15">
        <v>46181</v>
      </c>
      <c r="B87" s="39" t="s">
        <v>67</v>
      </c>
      <c r="C87" s="40"/>
      <c r="D87" s="7">
        <v>3</v>
      </c>
    </row>
    <row r="88" spans="1:4" ht="12" customHeight="1" x14ac:dyDescent="0.2">
      <c r="A88" s="16"/>
      <c r="B88" s="17" t="s">
        <v>66</v>
      </c>
      <c r="C88" s="18"/>
      <c r="D88" s="8">
        <v>1</v>
      </c>
    </row>
    <row r="89" spans="1:4" x14ac:dyDescent="0.2">
      <c r="A89" s="16"/>
      <c r="B89" s="2" t="s">
        <v>6</v>
      </c>
      <c r="C89" s="3" t="s">
        <v>5</v>
      </c>
      <c r="D89" s="9">
        <f>SUM(D87:D88)</f>
        <v>4</v>
      </c>
    </row>
    <row r="90" spans="1:4" ht="24.95" customHeight="1" x14ac:dyDescent="0.2">
      <c r="A90" s="22"/>
      <c r="B90" s="25" t="s">
        <v>68</v>
      </c>
      <c r="C90" s="26"/>
      <c r="D90" s="27"/>
    </row>
    <row r="91" spans="1:4" ht="12" customHeight="1" x14ac:dyDescent="0.2">
      <c r="A91" s="11"/>
      <c r="B91" s="10"/>
      <c r="C91" s="3" t="s">
        <v>7</v>
      </c>
      <c r="D91" s="12">
        <f>D13+D19+D31+D39+D44+D49+D56+D63+D73+D80+D85+D89</f>
        <v>80</v>
      </c>
    </row>
    <row r="92" spans="1:4" x14ac:dyDescent="0.2">
      <c r="A92" s="14" t="s">
        <v>0</v>
      </c>
      <c r="B92" s="14"/>
      <c r="C92" s="14"/>
      <c r="D92" s="14"/>
    </row>
  </sheetData>
  <mergeCells count="90">
    <mergeCell ref="B62:C62"/>
    <mergeCell ref="B64:D64"/>
    <mergeCell ref="A87:A90"/>
    <mergeCell ref="B87:C87"/>
    <mergeCell ref="B88:C88"/>
    <mergeCell ref="B90:D90"/>
    <mergeCell ref="A82:A86"/>
    <mergeCell ref="B82:C82"/>
    <mergeCell ref="B83:C83"/>
    <mergeCell ref="B84:C84"/>
    <mergeCell ref="B86:D86"/>
    <mergeCell ref="A51:A57"/>
    <mergeCell ref="B51:C51"/>
    <mergeCell ref="B52:C52"/>
    <mergeCell ref="A75:A81"/>
    <mergeCell ref="B75:C75"/>
    <mergeCell ref="B76:C76"/>
    <mergeCell ref="B77:C77"/>
    <mergeCell ref="B78:C78"/>
    <mergeCell ref="B79:C79"/>
    <mergeCell ref="B81:D81"/>
    <mergeCell ref="B57:D57"/>
    <mergeCell ref="A58:A64"/>
    <mergeCell ref="B58:C58"/>
    <mergeCell ref="B59:C59"/>
    <mergeCell ref="B60:C60"/>
    <mergeCell ref="B61:C61"/>
    <mergeCell ref="A46:A50"/>
    <mergeCell ref="B46:C46"/>
    <mergeCell ref="B47:C47"/>
    <mergeCell ref="B48:C48"/>
    <mergeCell ref="B50:D50"/>
    <mergeCell ref="A65:A74"/>
    <mergeCell ref="B65:C65"/>
    <mergeCell ref="B66:C66"/>
    <mergeCell ref="B67:C67"/>
    <mergeCell ref="B68:C68"/>
    <mergeCell ref="B72:C72"/>
    <mergeCell ref="B74:D74"/>
    <mergeCell ref="B71:C71"/>
    <mergeCell ref="B41:C41"/>
    <mergeCell ref="B42:C42"/>
    <mergeCell ref="B43:C43"/>
    <mergeCell ref="B7:C7"/>
    <mergeCell ref="B10:C10"/>
    <mergeCell ref="B11:C11"/>
    <mergeCell ref="B53:C53"/>
    <mergeCell ref="B54:C54"/>
    <mergeCell ref="B55:C55"/>
    <mergeCell ref="B69:C69"/>
    <mergeCell ref="B70:C70"/>
    <mergeCell ref="B45:D45"/>
    <mergeCell ref="B32:D32"/>
    <mergeCell ref="B25:C25"/>
    <mergeCell ref="B27:C27"/>
    <mergeCell ref="B38:C38"/>
    <mergeCell ref="B21:C21"/>
    <mergeCell ref="A21:A32"/>
    <mergeCell ref="B22:C22"/>
    <mergeCell ref="B23:C23"/>
    <mergeCell ref="B24:C24"/>
    <mergeCell ref="B26:C26"/>
    <mergeCell ref="B28:C28"/>
    <mergeCell ref="B29:C29"/>
    <mergeCell ref="A1:D1"/>
    <mergeCell ref="B4:C5"/>
    <mergeCell ref="B6:C6"/>
    <mergeCell ref="A2:C2"/>
    <mergeCell ref="A4:A5"/>
    <mergeCell ref="A6:A14"/>
    <mergeCell ref="B8:C8"/>
    <mergeCell ref="B14:D14"/>
    <mergeCell ref="B9:C9"/>
    <mergeCell ref="B12:C12"/>
    <mergeCell ref="A92:D92"/>
    <mergeCell ref="A15:A20"/>
    <mergeCell ref="B15:C15"/>
    <mergeCell ref="B16:C16"/>
    <mergeCell ref="B17:C17"/>
    <mergeCell ref="B18:C18"/>
    <mergeCell ref="B20:D20"/>
    <mergeCell ref="A33:A40"/>
    <mergeCell ref="B30:C30"/>
    <mergeCell ref="B33:C33"/>
    <mergeCell ref="B35:C35"/>
    <mergeCell ref="B36:C36"/>
    <mergeCell ref="B37:C37"/>
    <mergeCell ref="B40:D40"/>
    <mergeCell ref="A41:A45"/>
    <mergeCell ref="B34:C34"/>
  </mergeCells>
  <conditionalFormatting sqref="D6:D13 D15:D19 D21">
    <cfRule type="containsText" dxfId="13" priority="26" operator="containsText" text="En cours">
      <formula>NOT(ISERROR(SEARCH("En cours",D6)))</formula>
    </cfRule>
  </conditionalFormatting>
  <conditionalFormatting sqref="D21 D6:D13 D15:D19">
    <cfRule type="containsText" dxfId="12" priority="25" operator="containsText" text="Terminé">
      <formula>NOT(ISERROR(SEARCH("Terminé",D6)))</formula>
    </cfRule>
  </conditionalFormatting>
  <conditionalFormatting sqref="D21:D31 D33:D39 D41:D44 D46:D49 D87:D89 D82:D85">
    <cfRule type="containsText" dxfId="11" priority="5" operator="containsText" text="Terminé">
      <formula>NOT(ISERROR(SEARCH("Terminé",D21)))</formula>
    </cfRule>
    <cfRule type="containsText" dxfId="10" priority="6" operator="containsText" text="En cours">
      <formula>NOT(ISERROR(SEARCH("En cours",D21)))</formula>
    </cfRule>
  </conditionalFormatting>
  <conditionalFormatting sqref="D51:D56">
    <cfRule type="containsText" dxfId="9" priority="9" operator="containsText" text="Terminé">
      <formula>NOT(ISERROR(SEARCH("Terminé",D51)))</formula>
    </cfRule>
    <cfRule type="containsText" dxfId="8" priority="10" operator="containsText" text="En cours">
      <formula>NOT(ISERROR(SEARCH("En cours",D51)))</formula>
    </cfRule>
  </conditionalFormatting>
  <conditionalFormatting sqref="D58:D63">
    <cfRule type="containsText" dxfId="7" priority="7" operator="containsText" text="Terminé">
      <formula>NOT(ISERROR(SEARCH("Terminé",D58)))</formula>
    </cfRule>
    <cfRule type="containsText" dxfId="6" priority="8" operator="containsText" text="En cours">
      <formula>NOT(ISERROR(SEARCH("En cours",D58)))</formula>
    </cfRule>
  </conditionalFormatting>
  <conditionalFormatting sqref="D65:D73">
    <cfRule type="containsText" dxfId="5" priority="17" operator="containsText" text="Terminé">
      <formula>NOT(ISERROR(SEARCH("Terminé",D65)))</formula>
    </cfRule>
    <cfRule type="containsText" dxfId="4" priority="18" operator="containsText" text="En cours">
      <formula>NOT(ISERROR(SEARCH("En cours",D65)))</formula>
    </cfRule>
  </conditionalFormatting>
  <conditionalFormatting sqref="D75:D80">
    <cfRule type="containsText" dxfId="3" priority="15" operator="containsText" text="Terminé">
      <formula>NOT(ISERROR(SEARCH("Terminé",D75)))</formula>
    </cfRule>
    <cfRule type="containsText" dxfId="2" priority="16" operator="containsText" text="En cours">
      <formula>NOT(ISERROR(SEARCH("En cours",D75)))</formula>
    </cfRule>
  </conditionalFormatting>
  <conditionalFormatting sqref="D91">
    <cfRule type="containsText" dxfId="1" priority="3" operator="containsText" text="Terminé">
      <formula>NOT(ISERROR(SEARCH("Terminé",D91)))</formula>
    </cfRule>
    <cfRule type="containsText" dxfId="0" priority="4" operator="containsText" text="En cours">
      <formula>NOT(ISERROR(SEARCH("En cours",D91)))</formula>
    </cfRule>
  </conditionalFormatting>
  <printOptions horizontalCentered="1"/>
  <pageMargins left="0.47244094488188981" right="0.15748031496062992" top="1.4566929133858268" bottom="0.43307086614173229" header="0.31496062992125984" footer="0.19685039370078741"/>
  <pageSetup paperSize="9" orientation="portrait" r:id="rId1"/>
  <headerFooter alignWithMargins="0">
    <oddHeader>&amp;L&amp;"Arial,Gras"&amp;14Informaticien/-ne CFC&amp;"Arial,Normal"&amp;10
Travail pratique individuel 2026 (TPI)&amp;R&amp;"Arial,Gras"&amp;14&amp;G</oddHeader>
    <oddFooter>&amp;L&amp;8&amp;F&amp;R&amp;8Page &amp;P/&amp;N</oddFooter>
  </headerFooter>
  <rowBreaks count="2" manualBreakCount="2">
    <brk id="50" max="16383" man="1"/>
    <brk id="91" max="3" man="1"/>
  </rowBreaks>
  <legacyDrawingHF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1</vt:i4>
      </vt:variant>
      <vt:variant>
        <vt:lpstr>Plages nommées</vt:lpstr>
      </vt:variant>
      <vt:variant>
        <vt:i4>2</vt:i4>
      </vt:variant>
    </vt:vector>
  </HeadingPairs>
  <TitlesOfParts>
    <vt:vector size="3" baseType="lpstr">
      <vt:lpstr>Journal</vt:lpstr>
      <vt:lpstr>Journal!Impression_des_titres</vt:lpstr>
      <vt:lpstr>Journal!Zone_d_impression</vt:lpstr>
    </vt:vector>
  </TitlesOfParts>
  <Company>EMF</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Guisolan Christian</dc:creator>
  <cp:lastModifiedBy>Voeffray Lucielle</cp:lastModifiedBy>
  <cp:lastPrinted>2024-10-20T08:57:22Z</cp:lastPrinted>
  <dcterms:created xsi:type="dcterms:W3CDTF">2002-03-11T12:50:08Z</dcterms:created>
  <dcterms:modified xsi:type="dcterms:W3CDTF">2026-06-05T12:52:50Z</dcterms:modified>
</cp:coreProperties>
</file>